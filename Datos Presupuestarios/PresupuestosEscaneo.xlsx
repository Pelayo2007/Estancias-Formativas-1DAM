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hugov\Downloads\"/>
    </mc:Choice>
  </mc:AlternateContent>
  <xr:revisionPtr revIDLastSave="0" documentId="13_ncr:1_{57E1A5FD-F08E-4F21-8902-6E315A8341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de Recib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E8" i="1" l="1"/>
  <c r="E13" i="1"/>
  <c r="E14" i="1"/>
  <c r="E21" i="1" s="1"/>
  <c r="E15" i="1"/>
  <c r="K17" i="1" s="1"/>
  <c r="E17" i="1"/>
  <c r="E19" i="1" s="1"/>
  <c r="P9" i="1"/>
  <c r="P8" i="1"/>
  <c r="P13" i="1" s="1"/>
  <c r="K16" i="1"/>
  <c r="K15" i="1" l="1"/>
  <c r="K22" i="1" s="1"/>
  <c r="K23" i="1" s="1"/>
  <c r="K25" i="1" s="1"/>
</calcChain>
</file>

<file path=xl/sharedStrings.xml><?xml version="1.0" encoding="utf-8"?>
<sst xmlns="http://schemas.openxmlformats.org/spreadsheetml/2006/main" count="32" uniqueCount="31">
  <si>
    <t>ESPACIO MOLINÓN</t>
  </si>
  <si>
    <t>ESPACIO POR HORA (M2)</t>
  </si>
  <si>
    <t>COMPLEJIDAD</t>
  </si>
  <si>
    <t>Espacio terreno de juego</t>
  </si>
  <si>
    <t>PRECIO POR HORA (€)</t>
  </si>
  <si>
    <t>ESPACIO POR ESCANEO (M2)</t>
  </si>
  <si>
    <t>Espacio graderío</t>
  </si>
  <si>
    <t>RECIBO</t>
  </si>
  <si>
    <t>TOTAL FOTOS 360 TOMADAS</t>
  </si>
  <si>
    <t>Espacio interiores</t>
  </si>
  <si>
    <t>Escaneo terreno de juego</t>
  </si>
  <si>
    <t>EXTERIORES</t>
  </si>
  <si>
    <t>TOTAL (M2)</t>
  </si>
  <si>
    <t>Escaneo graderío</t>
  </si>
  <si>
    <t>INTERIORES</t>
  </si>
  <si>
    <t>CÁLCULO TIEMPOS PROYECTO</t>
  </si>
  <si>
    <t>Escaneo interiores</t>
  </si>
  <si>
    <t>TERRENO DE JUEGO</t>
  </si>
  <si>
    <t>TOTAL</t>
  </si>
  <si>
    <t>GRADERÍO</t>
  </si>
  <si>
    <t>IVA</t>
  </si>
  <si>
    <t>TOTAL (H)</t>
  </si>
  <si>
    <t>TOTAL IVA INCLUIDO</t>
  </si>
  <si>
    <t>JORNADAS TOTALES (D)</t>
  </si>
  <si>
    <t>JORNADAS ESCANEO EXTERIORES (D)</t>
  </si>
  <si>
    <t>TIPOS DE TOURS</t>
  </si>
  <si>
    <t>BÁSICO</t>
  </si>
  <si>
    <t>NORMAL</t>
  </si>
  <si>
    <t>PREMIUM</t>
  </si>
  <si>
    <t>Tour seleccionado</t>
  </si>
  <si>
    <t>TOTAL FOTOS TOMADAS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</si>
</sst>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CC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14" applyNumberFormat="0" applyAlignment="0" applyProtection="0"/>
  </cellStyleXfs>
  <cellXfs count="103">
    <xf numFmtId="0" fontId="0" fillId="0" borderId="0" xfId="0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0" xfId="0" applyFill="1"/>
    <xf numFmtId="0" fontId="5" fillId="0" borderId="0" xfId="0" applyFont="1" applyFill="1"/>
    <xf numFmtId="0" fontId="0" fillId="0" borderId="0" xfId="0" applyFont="1" applyFill="1"/>
    <xf numFmtId="0" fontId="0" fillId="0" borderId="15" xfId="0" applyFont="1" applyFill="1" applyBorder="1" applyAlignment="1">
      <alignment horizontal="left"/>
    </xf>
    <xf numFmtId="0" fontId="0" fillId="0" borderId="16" xfId="0" applyFont="1" applyFill="1" applyBorder="1" applyAlignment="1">
      <alignment horizontal="left"/>
    </xf>
    <xf numFmtId="164" fontId="0" fillId="0" borderId="16" xfId="0" applyNumberFormat="1" applyFont="1" applyFill="1" applyBorder="1"/>
    <xf numFmtId="0" fontId="0" fillId="0" borderId="21" xfId="0" applyFont="1" applyFill="1" applyBorder="1"/>
    <xf numFmtId="0" fontId="0" fillId="0" borderId="2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164" fontId="0" fillId="0" borderId="22" xfId="0" applyNumberFormat="1" applyFont="1" applyFill="1" applyBorder="1"/>
    <xf numFmtId="0" fontId="0" fillId="0" borderId="18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left"/>
    </xf>
    <xf numFmtId="164" fontId="0" fillId="0" borderId="20" xfId="0" applyNumberFormat="1" applyFont="1" applyFill="1" applyBorder="1"/>
    <xf numFmtId="0" fontId="6" fillId="0" borderId="0" xfId="3" applyFont="1" applyFill="1" applyBorder="1" applyAlignment="1"/>
    <xf numFmtId="164" fontId="6" fillId="0" borderId="0" xfId="3" applyNumberFormat="1" applyFont="1" applyFill="1" applyBorder="1"/>
    <xf numFmtId="0" fontId="0" fillId="0" borderId="0" xfId="0" applyFont="1" applyFill="1" applyBorder="1"/>
    <xf numFmtId="0" fontId="0" fillId="0" borderId="0" xfId="1" applyFont="1" applyFill="1" applyBorder="1" applyAlignment="1"/>
    <xf numFmtId="0" fontId="0" fillId="0" borderId="0" xfId="1" applyFont="1" applyFill="1" applyBorder="1"/>
    <xf numFmtId="0" fontId="0" fillId="0" borderId="0" xfId="0" applyFill="1" applyBorder="1"/>
    <xf numFmtId="0" fontId="1" fillId="3" borderId="10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3" borderId="17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0" fontId="0" fillId="3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2" xfId="0" applyFont="1" applyFill="1" applyBorder="1"/>
    <xf numFmtId="164" fontId="0" fillId="2" borderId="3" xfId="0" applyNumberFormat="1" applyFont="1" applyFill="1" applyBorder="1"/>
    <xf numFmtId="0" fontId="0" fillId="2" borderId="21" xfId="0" applyFont="1" applyFill="1" applyBorder="1"/>
    <xf numFmtId="0" fontId="0" fillId="2" borderId="0" xfId="0" applyFont="1" applyFill="1"/>
    <xf numFmtId="164" fontId="0" fillId="2" borderId="22" xfId="0" applyNumberFormat="1" applyFont="1" applyFill="1" applyBorder="1"/>
    <xf numFmtId="0" fontId="0" fillId="2" borderId="11" xfId="0" applyFont="1" applyFill="1" applyBorder="1"/>
    <xf numFmtId="164" fontId="0" fillId="2" borderId="12" xfId="0" applyNumberFormat="1" applyFont="1" applyFill="1" applyBorder="1"/>
    <xf numFmtId="0" fontId="7" fillId="10" borderId="8" xfId="0" applyFont="1" applyFill="1" applyBorder="1"/>
    <xf numFmtId="0" fontId="7" fillId="10" borderId="9" xfId="0" applyFont="1" applyFill="1" applyBorder="1"/>
    <xf numFmtId="9" fontId="7" fillId="10" borderId="9" xfId="0" applyNumberFormat="1" applyFont="1" applyFill="1" applyBorder="1"/>
    <xf numFmtId="164" fontId="7" fillId="10" borderId="10" xfId="0" applyNumberFormat="1" applyFont="1" applyFill="1" applyBorder="1"/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13" xfId="0" applyFont="1" applyFill="1" applyBorder="1"/>
    <xf numFmtId="0" fontId="0" fillId="2" borderId="1" xfId="0" applyFont="1" applyFill="1" applyBorder="1" applyAlignment="1">
      <alignment horizontal="left" wrapText="1"/>
    </xf>
    <xf numFmtId="0" fontId="0" fillId="2" borderId="2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 wrapText="1"/>
    </xf>
    <xf numFmtId="0" fontId="0" fillId="2" borderId="4" xfId="0" applyFont="1" applyFill="1" applyBorder="1"/>
    <xf numFmtId="0" fontId="0" fillId="2" borderId="3" xfId="0" applyFont="1" applyFill="1" applyBorder="1" applyAlignment="1">
      <alignment horizontal="left"/>
    </xf>
    <xf numFmtId="0" fontId="0" fillId="2" borderId="3" xfId="0" applyFont="1" applyFill="1" applyBorder="1"/>
    <xf numFmtId="0" fontId="0" fillId="9" borderId="1" xfId="0" applyFont="1" applyFill="1" applyBorder="1" applyAlignment="1">
      <alignment horizontal="left"/>
    </xf>
    <xf numFmtId="0" fontId="0" fillId="9" borderId="2" xfId="0" applyFont="1" applyFill="1" applyBorder="1" applyAlignment="1">
      <alignment horizontal="left"/>
    </xf>
    <xf numFmtId="164" fontId="0" fillId="9" borderId="3" xfId="0" applyNumberFormat="1" applyFont="1" applyFill="1" applyBorder="1"/>
    <xf numFmtId="0" fontId="0" fillId="13" borderId="1" xfId="0" applyFont="1" applyFill="1" applyBorder="1" applyAlignment="1">
      <alignment horizontal="left"/>
    </xf>
    <xf numFmtId="0" fontId="0" fillId="13" borderId="2" xfId="0" applyFont="1" applyFill="1" applyBorder="1" applyAlignment="1">
      <alignment horizontal="left"/>
    </xf>
    <xf numFmtId="0" fontId="0" fillId="13" borderId="3" xfId="0" applyFont="1" applyFill="1" applyBorder="1"/>
    <xf numFmtId="0" fontId="0" fillId="13" borderId="1" xfId="0" applyFont="1" applyFill="1" applyBorder="1"/>
    <xf numFmtId="0" fontId="0" fillId="13" borderId="2" xfId="0" applyFont="1" applyFill="1" applyBorder="1"/>
    <xf numFmtId="0" fontId="0" fillId="8" borderId="1" xfId="0" applyFont="1" applyFill="1" applyBorder="1"/>
    <xf numFmtId="0" fontId="0" fillId="8" borderId="2" xfId="0" applyFont="1" applyFill="1" applyBorder="1"/>
    <xf numFmtId="0" fontId="0" fillId="8" borderId="3" xfId="0" applyFont="1" applyFill="1" applyBorder="1"/>
    <xf numFmtId="0" fontId="0" fillId="8" borderId="1" xfId="0" applyFont="1" applyFill="1" applyBorder="1" applyAlignment="1">
      <alignment horizontal="left"/>
    </xf>
    <xf numFmtId="0" fontId="0" fillId="8" borderId="2" xfId="0" applyFont="1" applyFill="1" applyBorder="1" applyAlignment="1">
      <alignment horizontal="left"/>
    </xf>
    <xf numFmtId="0" fontId="0" fillId="12" borderId="0" xfId="0" applyFont="1" applyFill="1" applyBorder="1" applyAlignment="1">
      <alignment horizontal="left"/>
    </xf>
    <xf numFmtId="0" fontId="0" fillId="12" borderId="0" xfId="0" applyFont="1" applyFill="1"/>
    <xf numFmtId="0" fontId="0" fillId="11" borderId="8" xfId="0" applyFont="1" applyFill="1" applyBorder="1" applyAlignment="1"/>
    <xf numFmtId="0" fontId="0" fillId="11" borderId="9" xfId="0" applyFont="1" applyFill="1" applyBorder="1" applyAlignment="1"/>
    <xf numFmtId="0" fontId="0" fillId="11" borderId="10" xfId="0" applyFont="1" applyFill="1" applyBorder="1"/>
    <xf numFmtId="0" fontId="0" fillId="13" borderId="0" xfId="2" applyFont="1" applyFill="1" applyAlignment="1">
      <alignment horizontal="left"/>
    </xf>
    <xf numFmtId="0" fontId="0" fillId="13" borderId="0" xfId="2" applyFont="1" applyFill="1"/>
    <xf numFmtId="0" fontId="0" fillId="2" borderId="0" xfId="1" applyFont="1" applyFill="1" applyAlignment="1">
      <alignment horizontal="left"/>
    </xf>
    <xf numFmtId="0" fontId="0" fillId="2" borderId="0" xfId="1" applyFont="1" applyFill="1"/>
    <xf numFmtId="0" fontId="0" fillId="4" borderId="11" xfId="0" applyFont="1" applyFill="1" applyBorder="1"/>
    <xf numFmtId="0" fontId="0" fillId="4" borderId="0" xfId="0" applyFont="1" applyFill="1"/>
    <xf numFmtId="0" fontId="0" fillId="4" borderId="12" xfId="0" applyFont="1" applyFill="1" applyBorder="1"/>
    <xf numFmtId="0" fontId="0" fillId="4" borderId="15" xfId="0" applyFont="1" applyFill="1" applyBorder="1"/>
    <xf numFmtId="0" fontId="0" fillId="4" borderId="16" xfId="0" applyFont="1" applyFill="1" applyBorder="1"/>
    <xf numFmtId="0" fontId="0" fillId="4" borderId="17" xfId="0" applyFont="1" applyFill="1" applyBorder="1"/>
    <xf numFmtId="0" fontId="0" fillId="4" borderId="18" xfId="0" applyFont="1" applyFill="1" applyBorder="1"/>
    <xf numFmtId="0" fontId="0" fillId="4" borderId="19" xfId="0" applyFont="1" applyFill="1" applyBorder="1"/>
    <xf numFmtId="0" fontId="0" fillId="4" borderId="20" xfId="0" applyFont="1" applyFill="1" applyBorder="1"/>
    <xf numFmtId="0" fontId="0" fillId="11" borderId="23" xfId="0" applyFont="1" applyFill="1" applyBorder="1" applyAlignment="1"/>
    <xf numFmtId="0" fontId="0" fillId="11" borderId="24" xfId="0" applyFont="1" applyFill="1" applyBorder="1" applyAlignment="1"/>
    <xf numFmtId="0" fontId="0" fillId="11" borderId="25" xfId="0" applyFont="1" applyFill="1" applyBorder="1" applyAlignment="1"/>
    <xf numFmtId="0" fontId="0" fillId="2" borderId="23" xfId="0" applyFont="1" applyFill="1" applyBorder="1"/>
    <xf numFmtId="0" fontId="0" fillId="2" borderId="24" xfId="0" applyFont="1" applyFill="1" applyBorder="1"/>
    <xf numFmtId="164" fontId="0" fillId="2" borderId="25" xfId="0" applyNumberFormat="1" applyFont="1" applyFill="1" applyBorder="1"/>
    <xf numFmtId="0" fontId="0" fillId="2" borderId="26" xfId="0" applyFont="1" applyFill="1" applyBorder="1"/>
    <xf numFmtId="0" fontId="0" fillId="2" borderId="27" xfId="0" applyFont="1" applyFill="1" applyBorder="1"/>
    <xf numFmtId="164" fontId="0" fillId="2" borderId="28" xfId="0" applyNumberFormat="1" applyFont="1" applyFill="1" applyBorder="1"/>
    <xf numFmtId="0" fontId="0" fillId="4" borderId="26" xfId="0" applyFont="1" applyFill="1" applyBorder="1"/>
    <xf numFmtId="0" fontId="0" fillId="4" borderId="27" xfId="0" applyFont="1" applyFill="1" applyBorder="1"/>
    <xf numFmtId="164" fontId="0" fillId="4" borderId="28" xfId="0" applyNumberFormat="1" applyFont="1" applyFill="1" applyBorder="1"/>
    <xf numFmtId="0" fontId="0" fillId="0" borderId="0" xfId="0" applyBorder="1"/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</cellXfs>
  <cellStyles count="4">
    <cellStyle name="Cálculo" xfId="3" builtinId="22"/>
    <cellStyle name="Incorrecto" xfId="1" builtinId="27"/>
    <cellStyle name="Neutral" xfId="2" builtinId="28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CFFCC"/>
      <color rgb="FF66FF66"/>
      <color rgb="FFFF2521"/>
      <color rgb="FFF55B58"/>
      <color rgb="FF99FF99"/>
      <color rgb="FFAD77A7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Espacio a escanear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721431120313955E-2"/>
          <c:y val="0.20991271668243064"/>
          <c:w val="0.94001070961275779"/>
          <c:h val="0.73507745085145137"/>
        </c:manualLayout>
      </c:layout>
      <c:pie3D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tx1"/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D1-4713-8DDC-493B98138C63}"/>
              </c:ext>
            </c:extLst>
          </c:dPt>
          <c:dPt>
            <c:idx val="1"/>
            <c:bubble3D val="0"/>
            <c:spPr>
              <a:solidFill>
                <a:srgbClr val="FF2521"/>
              </a:solidFill>
              <a:ln w="19050">
                <a:solidFill>
                  <a:schemeClr val="tx1"/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0D1-4713-8DDC-493B98138C63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tx1"/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D1-4713-8DDC-493B98138C63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tx1"/>
                        </a:solidFill>
                      </a:rPr>
                      <a:t>CAMPO; </a:t>
                    </a:r>
                    <a:fld id="{F6A70DB2-98C6-4D75-925A-89E4BECE8DDB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[VALOR]</a:t>
                    </a:fld>
                    <a:r>
                      <a:rPr lang="en-US">
                        <a:solidFill>
                          <a:schemeClr val="tx1"/>
                        </a:solidFill>
                      </a:rPr>
                      <a:t>m^2</a:t>
                    </a:r>
                  </a:p>
                </c:rich>
              </c:tx>
              <c:spPr>
                <a:noFill/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0D1-4713-8DDC-493B98138C63}"/>
                </c:ext>
              </c:extLst>
            </c:dLbl>
            <c:dLbl>
              <c:idx val="1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tx1"/>
                        </a:solidFill>
                      </a:rPr>
                      <a:t>GRADERÍO; </a:t>
                    </a:r>
                    <a:fld id="{6BD04CFF-93FB-41AF-BC63-11E19BC4F371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[VALOR]</a:t>
                    </a:fld>
                    <a:r>
                      <a:rPr lang="en-US">
                        <a:solidFill>
                          <a:schemeClr val="tx1"/>
                        </a:solidFill>
                      </a:rPr>
                      <a:t>m^2</a:t>
                    </a:r>
                  </a:p>
                </c:rich>
              </c:tx>
              <c:spPr>
                <a:noFill/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0D1-4713-8DDC-493B98138C63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tx1"/>
                        </a:solidFill>
                      </a:rPr>
                      <a:t>INTERIORES; </a:t>
                    </a:r>
                    <a:fld id="{4B52A522-7072-413C-9889-4204643FF876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[VALOR]</a:t>
                    </a:fld>
                    <a:r>
                      <a:rPr lang="en-US">
                        <a:solidFill>
                          <a:schemeClr val="tx1"/>
                        </a:solidFill>
                      </a:rPr>
                      <a:t>m^2</a:t>
                    </a:r>
                  </a:p>
                </c:rich>
              </c:tx>
              <c:spPr>
                <a:noFill/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0D1-4713-8DDC-493B98138C63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('Hoja de Recibos'!$E$4,'Hoja de Recibos'!$E$5,'Hoja de Recibos'!$E$6)</c:f>
              <c:numCache>
                <c:formatCode>General</c:formatCode>
                <c:ptCount val="3"/>
                <c:pt idx="0">
                  <c:v>7000</c:v>
                </c:pt>
                <c:pt idx="1">
                  <c:v>50000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1-4713-8DDC-493B98138C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</xdr:colOff>
      <xdr:row>15</xdr:row>
      <xdr:rowOff>0</xdr:rowOff>
    </xdr:from>
    <xdr:to>
      <xdr:col>18</xdr:col>
      <xdr:colOff>0</xdr:colOff>
      <xdr:row>28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Rojo naranja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31"/>
  <sheetViews>
    <sheetView tabSelected="1" zoomScale="70" zoomScaleNormal="70" workbookViewId="0">
      <selection activeCell="K5" sqref="K5"/>
    </sheetView>
  </sheetViews>
  <sheetFormatPr baseColWidth="10" defaultColWidth="9.1796875" defaultRowHeight="14.5" x14ac:dyDescent="0.35"/>
  <cols>
    <col min="1" max="1" width="3.7265625" customWidth="1"/>
    <col min="4" max="4" width="11.26953125" customWidth="1"/>
    <col min="5" max="5" width="8.90625" customWidth="1"/>
    <col min="9" max="9" width="9.1796875" customWidth="1"/>
    <col min="11" max="11" width="13.54296875" customWidth="1"/>
    <col min="14" max="14" width="9.1796875" customWidth="1"/>
    <col min="15" max="15" width="14.453125" customWidth="1"/>
  </cols>
  <sheetData>
    <row r="2" spans="2:23" ht="15" customHeight="1" x14ac:dyDescent="0.35">
      <c r="B2" s="1" t="s">
        <v>0</v>
      </c>
      <c r="C2" s="2"/>
      <c r="D2" s="2"/>
      <c r="E2" s="3"/>
      <c r="F2" s="10"/>
      <c r="G2" s="10"/>
      <c r="H2" s="59" t="s">
        <v>1</v>
      </c>
      <c r="I2" s="60"/>
      <c r="J2" s="60"/>
      <c r="K2" s="61">
        <v>100</v>
      </c>
      <c r="L2" s="10"/>
      <c r="M2" s="10"/>
      <c r="N2" s="76" t="s">
        <v>2</v>
      </c>
      <c r="O2" s="76"/>
      <c r="P2" s="77">
        <v>1.5</v>
      </c>
      <c r="Q2" s="8"/>
    </row>
    <row r="3" spans="2:23" ht="15" customHeight="1" x14ac:dyDescent="0.35">
      <c r="B3" s="4"/>
      <c r="C3" s="5"/>
      <c r="D3" s="5"/>
      <c r="E3" s="6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8"/>
    </row>
    <row r="4" spans="2:23" x14ac:dyDescent="0.35">
      <c r="B4" s="47" t="s">
        <v>3</v>
      </c>
      <c r="C4" s="48"/>
      <c r="D4" s="48"/>
      <c r="E4" s="49">
        <v>7000</v>
      </c>
      <c r="F4" s="10"/>
      <c r="G4" s="10"/>
      <c r="H4" s="56" t="s">
        <v>4</v>
      </c>
      <c r="I4" s="57"/>
      <c r="J4" s="57"/>
      <c r="K4" s="58">
        <v>100</v>
      </c>
      <c r="L4" s="10"/>
      <c r="M4" s="10"/>
      <c r="N4" s="74" t="s">
        <v>5</v>
      </c>
      <c r="O4" s="74"/>
      <c r="P4" s="75">
        <v>9</v>
      </c>
      <c r="Q4" s="8"/>
    </row>
    <row r="5" spans="2:23" x14ac:dyDescent="0.35">
      <c r="B5" s="50" t="s">
        <v>6</v>
      </c>
      <c r="C5" s="51"/>
      <c r="D5" s="52"/>
      <c r="E5" s="53">
        <v>50000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</row>
    <row r="6" spans="2:23" ht="15" customHeight="1" x14ac:dyDescent="0.35">
      <c r="B6" s="47" t="s">
        <v>9</v>
      </c>
      <c r="C6" s="48"/>
      <c r="D6" s="54"/>
      <c r="E6" s="53">
        <v>15000</v>
      </c>
      <c r="F6" s="10"/>
      <c r="G6" s="10"/>
      <c r="H6" s="7" t="s">
        <v>25</v>
      </c>
      <c r="I6" s="28"/>
      <c r="J6" s="28"/>
      <c r="K6" s="29"/>
      <c r="L6" s="10"/>
      <c r="M6" s="10"/>
      <c r="N6" s="1" t="s">
        <v>8</v>
      </c>
      <c r="O6" s="2"/>
      <c r="P6" s="3"/>
      <c r="Q6" s="8"/>
    </row>
    <row r="7" spans="2:23" ht="14.5" customHeight="1" x14ac:dyDescent="0.35">
      <c r="B7" s="78"/>
      <c r="C7" s="79"/>
      <c r="D7" s="79"/>
      <c r="E7" s="80"/>
      <c r="F7" s="10"/>
      <c r="G7" s="10"/>
      <c r="H7" s="30"/>
      <c r="I7" s="31"/>
      <c r="J7" s="31"/>
      <c r="K7" s="32"/>
      <c r="L7" s="10"/>
      <c r="M7" s="10"/>
      <c r="N7" s="33"/>
      <c r="O7" s="34"/>
      <c r="P7" s="27"/>
      <c r="Q7" s="8"/>
    </row>
    <row r="8" spans="2:23" x14ac:dyDescent="0.35">
      <c r="B8" s="62" t="s">
        <v>12</v>
      </c>
      <c r="C8" s="63"/>
      <c r="D8" s="63"/>
      <c r="E8" s="61">
        <f>E6+E5+E4</f>
        <v>72000</v>
      </c>
      <c r="F8" s="10"/>
      <c r="G8" s="10"/>
      <c r="H8" s="11" t="s">
        <v>26</v>
      </c>
      <c r="I8" s="12"/>
      <c r="J8" s="12"/>
      <c r="K8" s="13">
        <v>450</v>
      </c>
      <c r="L8" s="14"/>
      <c r="M8" s="10"/>
      <c r="N8" s="87" t="s">
        <v>11</v>
      </c>
      <c r="O8" s="88"/>
      <c r="P8" s="89">
        <f>((E5+E4)/P4)*P2</f>
        <v>9500</v>
      </c>
      <c r="Q8" s="8"/>
    </row>
    <row r="9" spans="2:23" x14ac:dyDescent="0.35">
      <c r="F9" s="10"/>
      <c r="G9" s="10"/>
      <c r="H9" s="15" t="s">
        <v>27</v>
      </c>
      <c r="I9" s="16"/>
      <c r="J9" s="16"/>
      <c r="K9" s="17">
        <v>1500</v>
      </c>
      <c r="L9" s="10"/>
      <c r="M9" s="10"/>
      <c r="N9" s="71" t="s">
        <v>14</v>
      </c>
      <c r="O9" s="72"/>
      <c r="P9" s="73">
        <f>(E6/P4)*P2</f>
        <v>2500</v>
      </c>
      <c r="Q9" s="8"/>
    </row>
    <row r="10" spans="2:23" x14ac:dyDescent="0.35">
      <c r="F10" s="10"/>
      <c r="G10" s="10"/>
      <c r="H10" s="18" t="s">
        <v>28</v>
      </c>
      <c r="I10" s="19"/>
      <c r="J10" s="19"/>
      <c r="K10" s="20">
        <v>6000</v>
      </c>
      <c r="L10" s="10"/>
      <c r="M10" s="9"/>
      <c r="Q10" s="8"/>
    </row>
    <row r="11" spans="2:23" ht="15" customHeight="1" x14ac:dyDescent="0.35">
      <c r="B11" s="1" t="s">
        <v>15</v>
      </c>
      <c r="C11" s="2"/>
      <c r="D11" s="2"/>
      <c r="E11" s="3"/>
      <c r="F11" s="10"/>
      <c r="G11" s="10"/>
      <c r="H11" s="10"/>
      <c r="I11" s="10"/>
      <c r="J11" s="10"/>
      <c r="K11" s="10"/>
      <c r="L11" s="10"/>
      <c r="M11" s="10"/>
      <c r="Q11" s="8"/>
      <c r="S11" s="23"/>
      <c r="T11" s="23"/>
      <c r="U11" s="23"/>
      <c r="V11" s="23"/>
      <c r="W11" s="99"/>
    </row>
    <row r="12" spans="2:23" ht="15" customHeight="1" x14ac:dyDescent="0.35">
      <c r="B12" s="33"/>
      <c r="C12" s="34"/>
      <c r="D12" s="34"/>
      <c r="E12" s="27"/>
      <c r="F12" s="10"/>
      <c r="G12" s="10"/>
      <c r="H12" s="21"/>
      <c r="I12" s="21"/>
      <c r="J12" s="21"/>
      <c r="K12" s="22"/>
      <c r="L12" s="10"/>
      <c r="M12" s="10"/>
      <c r="N12" s="10"/>
      <c r="O12" s="10"/>
      <c r="P12" s="10"/>
      <c r="Q12" s="8"/>
    </row>
    <row r="13" spans="2:23" ht="15" customHeight="1" x14ac:dyDescent="0.35">
      <c r="B13" s="100" t="s">
        <v>17</v>
      </c>
      <c r="C13" s="101"/>
      <c r="D13" s="102"/>
      <c r="E13" s="55">
        <f>E4/K2</f>
        <v>70</v>
      </c>
      <c r="F13" s="10"/>
      <c r="G13" s="10"/>
      <c r="H13" s="1" t="s">
        <v>7</v>
      </c>
      <c r="I13" s="2"/>
      <c r="J13" s="2"/>
      <c r="K13" s="3"/>
      <c r="L13" s="10"/>
      <c r="M13" s="10"/>
      <c r="N13" s="69" t="s">
        <v>30</v>
      </c>
      <c r="O13" s="69"/>
      <c r="P13" s="70">
        <f>P8+P9</f>
        <v>12000</v>
      </c>
      <c r="Q13" s="8"/>
    </row>
    <row r="14" spans="2:23" ht="15" customHeight="1" x14ac:dyDescent="0.35">
      <c r="B14" s="100" t="s">
        <v>19</v>
      </c>
      <c r="C14" s="101"/>
      <c r="D14" s="102"/>
      <c r="E14" s="55">
        <f>E5/K2</f>
        <v>500</v>
      </c>
      <c r="F14" s="10"/>
      <c r="G14" s="10"/>
      <c r="H14" s="33"/>
      <c r="I14" s="34"/>
      <c r="J14" s="34"/>
      <c r="K14" s="27"/>
      <c r="L14" s="10"/>
      <c r="M14" s="10"/>
      <c r="N14" s="24"/>
      <c r="O14" s="24"/>
      <c r="P14" s="25"/>
      <c r="Q14" s="26"/>
    </row>
    <row r="15" spans="2:23" ht="15" customHeight="1" x14ac:dyDescent="0.35">
      <c r="B15" s="100" t="s">
        <v>14</v>
      </c>
      <c r="C15" s="101"/>
      <c r="D15" s="102"/>
      <c r="E15" s="55">
        <f>E6/K2</f>
        <v>150</v>
      </c>
      <c r="F15" s="10"/>
      <c r="G15" s="10"/>
      <c r="H15" s="90" t="s">
        <v>10</v>
      </c>
      <c r="I15" s="91"/>
      <c r="J15" s="91"/>
      <c r="K15" s="92">
        <f>E13*K4</f>
        <v>7000</v>
      </c>
      <c r="L15" s="10"/>
      <c r="M15" s="10"/>
      <c r="N15" s="10"/>
      <c r="O15" s="10"/>
      <c r="P15" s="10"/>
      <c r="Q15" s="8"/>
    </row>
    <row r="16" spans="2:23" x14ac:dyDescent="0.35">
      <c r="B16" s="78"/>
      <c r="C16" s="79"/>
      <c r="D16" s="79"/>
      <c r="E16" s="80"/>
      <c r="F16" s="10"/>
      <c r="G16" s="10"/>
      <c r="H16" s="93" t="s">
        <v>13</v>
      </c>
      <c r="I16" s="94"/>
      <c r="J16" s="94"/>
      <c r="K16" s="95">
        <f>E14*K4</f>
        <v>50000</v>
      </c>
      <c r="L16" s="10"/>
      <c r="M16" s="10"/>
      <c r="N16" s="10"/>
      <c r="O16" s="10"/>
      <c r="P16" s="10"/>
      <c r="Q16" s="8"/>
    </row>
    <row r="17" spans="2:17" x14ac:dyDescent="0.35">
      <c r="B17" s="62" t="s">
        <v>21</v>
      </c>
      <c r="C17" s="63"/>
      <c r="D17" s="63"/>
      <c r="E17" s="61">
        <f>E8/K2</f>
        <v>720</v>
      </c>
      <c r="F17" s="10"/>
      <c r="G17" s="10"/>
      <c r="H17" s="93" t="s">
        <v>16</v>
      </c>
      <c r="I17" s="94"/>
      <c r="J17" s="94"/>
      <c r="K17" s="95">
        <f>E15*K4</f>
        <v>15000</v>
      </c>
      <c r="L17" s="10"/>
      <c r="M17" s="10"/>
      <c r="N17" s="10"/>
      <c r="O17" s="10"/>
      <c r="P17" s="10"/>
      <c r="Q17" s="8"/>
    </row>
    <row r="18" spans="2:17" x14ac:dyDescent="0.35">
      <c r="F18" s="10"/>
      <c r="G18" s="10"/>
      <c r="H18" s="96"/>
      <c r="I18" s="97"/>
      <c r="J18" s="97"/>
      <c r="K18" s="98"/>
      <c r="L18" s="10"/>
      <c r="M18" s="10"/>
      <c r="N18" s="10"/>
      <c r="O18" s="10"/>
      <c r="P18" s="10"/>
      <c r="Q18" s="8"/>
    </row>
    <row r="19" spans="2:17" x14ac:dyDescent="0.35">
      <c r="B19" s="64" t="s">
        <v>23</v>
      </c>
      <c r="C19" s="65"/>
      <c r="D19" s="65"/>
      <c r="E19" s="66">
        <f>E17/8</f>
        <v>90</v>
      </c>
      <c r="F19" s="10"/>
      <c r="G19" s="10"/>
      <c r="H19" s="41" t="s">
        <v>29</v>
      </c>
      <c r="I19" s="39"/>
      <c r="J19" s="39"/>
      <c r="K19" s="42">
        <f>K10</f>
        <v>6000</v>
      </c>
      <c r="L19" s="10"/>
      <c r="M19" s="10"/>
      <c r="N19" s="10"/>
      <c r="O19" s="10"/>
      <c r="P19" s="10"/>
      <c r="Q19" s="8"/>
    </row>
    <row r="20" spans="2:17" x14ac:dyDescent="0.35">
      <c r="B20" s="10"/>
      <c r="C20" s="10"/>
      <c r="D20" s="10"/>
      <c r="E20" s="10"/>
      <c r="F20" s="10"/>
      <c r="G20" s="10"/>
      <c r="H20" s="81"/>
      <c r="I20" s="82"/>
      <c r="J20" s="82"/>
      <c r="K20" s="83"/>
      <c r="L20" s="10"/>
      <c r="M20" s="10"/>
      <c r="N20" s="10"/>
      <c r="O20" s="10"/>
      <c r="P20" s="10"/>
      <c r="Q20" s="8"/>
    </row>
    <row r="21" spans="2:17" x14ac:dyDescent="0.35">
      <c r="B21" s="67" t="s">
        <v>24</v>
      </c>
      <c r="C21" s="68"/>
      <c r="D21" s="68"/>
      <c r="E21" s="66">
        <f>(E14+E13)/8</f>
        <v>71.25</v>
      </c>
      <c r="F21" s="10"/>
      <c r="G21" s="10"/>
      <c r="H21" s="84"/>
      <c r="I21" s="85"/>
      <c r="J21" s="85"/>
      <c r="K21" s="86"/>
      <c r="L21" s="10"/>
      <c r="M21" s="10"/>
      <c r="N21" s="10"/>
      <c r="O21" s="10"/>
      <c r="P21" s="10"/>
      <c r="Q21" s="8"/>
    </row>
    <row r="22" spans="2:17" x14ac:dyDescent="0.35">
      <c r="F22" s="10"/>
      <c r="G22" s="10"/>
      <c r="H22" s="38" t="s">
        <v>18</v>
      </c>
      <c r="I22" s="39"/>
      <c r="J22" s="39"/>
      <c r="K22" s="40">
        <f>K17+K16+K15+K19</f>
        <v>78000</v>
      </c>
      <c r="L22" s="10"/>
      <c r="M22" s="10"/>
      <c r="N22" s="10"/>
      <c r="O22" s="10"/>
      <c r="P22" s="10"/>
      <c r="Q22" s="8"/>
    </row>
    <row r="23" spans="2:17" x14ac:dyDescent="0.35">
      <c r="F23" s="10"/>
      <c r="G23" s="10"/>
      <c r="H23" s="43" t="s">
        <v>20</v>
      </c>
      <c r="I23" s="44"/>
      <c r="J23" s="45">
        <v>0.21</v>
      </c>
      <c r="K23" s="46">
        <f>K22*0.21</f>
        <v>16380</v>
      </c>
      <c r="L23" s="10"/>
      <c r="M23" s="10"/>
      <c r="N23" s="10"/>
      <c r="O23" s="10"/>
      <c r="P23" s="10"/>
      <c r="Q23" s="8"/>
    </row>
    <row r="24" spans="2:17" x14ac:dyDescent="0.35">
      <c r="F24" s="10"/>
      <c r="G24" s="10"/>
      <c r="L24" s="10"/>
      <c r="M24" s="10"/>
      <c r="N24" s="10"/>
      <c r="O24" s="10"/>
      <c r="P24" s="10"/>
      <c r="Q24" s="8"/>
    </row>
    <row r="25" spans="2:17" x14ac:dyDescent="0.35">
      <c r="F25" s="10"/>
      <c r="G25" s="10"/>
      <c r="H25" s="35" t="s">
        <v>22</v>
      </c>
      <c r="I25" s="36"/>
      <c r="J25" s="36"/>
      <c r="K25" s="37">
        <f>K23+K22</f>
        <v>94380</v>
      </c>
      <c r="L25" s="10"/>
      <c r="M25" s="10"/>
      <c r="N25" s="10"/>
      <c r="O25" s="10"/>
      <c r="P25" s="10"/>
      <c r="Q25" s="8"/>
    </row>
    <row r="26" spans="2:17" x14ac:dyDescent="0.3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8"/>
    </row>
    <row r="27" spans="2:17" x14ac:dyDescent="0.35">
      <c r="B27" s="10"/>
      <c r="C27" s="10"/>
      <c r="D27" s="10"/>
      <c r="E27" s="10"/>
      <c r="F27" s="10"/>
      <c r="G27" s="10"/>
      <c r="L27" s="10"/>
      <c r="M27" s="10"/>
      <c r="N27" s="10"/>
      <c r="O27" s="10"/>
      <c r="P27" s="10"/>
      <c r="Q27" s="8"/>
    </row>
    <row r="28" spans="2:17" x14ac:dyDescent="0.3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8"/>
    </row>
    <row r="29" spans="2:17" x14ac:dyDescent="0.3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17" x14ac:dyDescent="0.3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17" x14ac:dyDescent="0.3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</sheetData>
  <mergeCells count="17">
    <mergeCell ref="H8:J8"/>
    <mergeCell ref="N6:P7"/>
    <mergeCell ref="N13:O13"/>
    <mergeCell ref="B11:E12"/>
    <mergeCell ref="B21:D21"/>
    <mergeCell ref="N2:O2"/>
    <mergeCell ref="N4:O4"/>
    <mergeCell ref="B5:D5"/>
    <mergeCell ref="B6:D6"/>
    <mergeCell ref="H2:J2"/>
    <mergeCell ref="B2:E3"/>
    <mergeCell ref="H4:J4"/>
    <mergeCell ref="B4:D4"/>
    <mergeCell ref="H6:K7"/>
    <mergeCell ref="H9:J9"/>
    <mergeCell ref="H10:J10"/>
    <mergeCell ref="H13:K14"/>
  </mergeCells>
  <conditionalFormatting sqref="N14 P14">
    <cfRule type="notContainsBlanks" dxfId="0" priority="1">
      <formula>LEN(TRIM(N14))&gt;0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Recibos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Valles Murias</cp:lastModifiedBy>
  <cp:revision/>
  <dcterms:created xsi:type="dcterms:W3CDTF">2026-04-07T10:35:52Z</dcterms:created>
  <dcterms:modified xsi:type="dcterms:W3CDTF">2026-04-08T18:02:18Z</dcterms:modified>
  <cp:category/>
  <cp:contentStatus/>
</cp:coreProperties>
</file>