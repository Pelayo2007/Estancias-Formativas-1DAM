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/>
  <mc:AlternateContent xmlns:mc="http://schemas.openxmlformats.org/markup-compatibility/2006">
    <mc:Choice Requires="x15">
      <x15ac:absPath xmlns:x15ac="http://schemas.microsoft.com/office/spreadsheetml/2010/11/ac" url="C:\Users\Presencial\Desktop\Datos Presupuestarios\"/>
    </mc:Choice>
  </mc:AlternateContent>
  <bookViews>
    <workbookView xWindow="0" yWindow="0" windowWidth="17970" windowHeight="5970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15" i="1"/>
  <c r="E17" i="1"/>
  <c r="E19" i="1"/>
  <c r="E21" i="1"/>
  <c r="E23" i="1"/>
  <c r="E25" i="1"/>
  <c r="P11" i="1"/>
  <c r="P9" i="1"/>
  <c r="K13" i="1"/>
  <c r="K11" i="1"/>
  <c r="K9" i="1" l="1"/>
  <c r="P14" i="1"/>
  <c r="K16" i="1"/>
  <c r="K18" i="1" s="1"/>
  <c r="K21" i="1" s="1"/>
</calcChain>
</file>

<file path=xl/sharedStrings.xml><?xml version="1.0" encoding="utf-8"?>
<sst xmlns="http://schemas.openxmlformats.org/spreadsheetml/2006/main" count="27" uniqueCount="26">
  <si>
    <t>ESPACIO MOLINÓN</t>
  </si>
  <si>
    <t>ESPACIO POR HORA (M2)</t>
  </si>
  <si>
    <t>COMPLEJIDAD</t>
  </si>
  <si>
    <t>Espacio terreno de juego</t>
  </si>
  <si>
    <t>PRECIO POR HORA (€)</t>
  </si>
  <si>
    <t>ESPACIO POR ESCANEO (M2)</t>
  </si>
  <si>
    <t>Espacio graderío</t>
  </si>
  <si>
    <t>RECIBO</t>
  </si>
  <si>
    <t>TOTAL FOTOS 360 TOMADAS</t>
  </si>
  <si>
    <t>Espacio interiores</t>
  </si>
  <si>
    <t>Escaneo terreno de juego</t>
  </si>
  <si>
    <t>EXTERIORES</t>
  </si>
  <si>
    <t>TOTAL (M2)</t>
  </si>
  <si>
    <t>Escaneo graderío</t>
  </si>
  <si>
    <t>INTERIORES</t>
  </si>
  <si>
    <t>CÁLCULO TIEMPOS PROYECTO</t>
  </si>
  <si>
    <t>Escaneo interiores</t>
  </si>
  <si>
    <t>TOTALES</t>
  </si>
  <si>
    <t>TERRENO DE JUEGO</t>
  </si>
  <si>
    <t>TOTAL</t>
  </si>
  <si>
    <t>GRADERÍO</t>
  </si>
  <si>
    <t>IVA</t>
  </si>
  <si>
    <t>TOTAL (H)</t>
  </si>
  <si>
    <t>TOTAL IVA INCLUIDO</t>
  </si>
  <si>
    <t>JORNADAS TOTALES (D)</t>
  </si>
  <si>
    <t>JORNADAS ESCANEO EXTERIORES (D)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</si>
</sst>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€&quot;"/>
  </numFmts>
  <fonts count="5" x14ac:knownFonts="1">
    <font>
      <sz val="11"/>
      <color theme="1"/>
      <name val="Calibri"/>
      <family val="2"/>
      <scheme val="minor"/>
    </font>
    <font>
      <sz val="15"/>
      <color rgb="FF000000"/>
      <name val="Calibri"/>
      <scheme val="minor"/>
    </font>
    <font>
      <sz val="15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55B5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7" borderId="0" applyNumberFormat="0" applyBorder="0" applyAlignment="0" applyProtection="0"/>
    <xf numFmtId="0" fontId="4" fillId="8" borderId="0" applyNumberFormat="0" applyBorder="0" applyAlignment="0" applyProtection="0"/>
  </cellStyleXfs>
  <cellXfs count="69">
    <xf numFmtId="0" fontId="0" fillId="0" borderId="0" xfId="0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0" borderId="11" xfId="0" applyBorder="1"/>
    <xf numFmtId="0" fontId="0" fillId="0" borderId="12" xfId="0" applyBorder="1"/>
    <xf numFmtId="0" fontId="0" fillId="0" borderId="10" xfId="0" applyBorder="1"/>
    <xf numFmtId="0" fontId="0" fillId="0" borderId="3" xfId="0" applyBorder="1"/>
    <xf numFmtId="0" fontId="0" fillId="2" borderId="1" xfId="0" applyFill="1" applyBorder="1"/>
    <xf numFmtId="0" fontId="0" fillId="2" borderId="2" xfId="0" applyFill="1" applyBorder="1"/>
    <xf numFmtId="0" fontId="0" fillId="2" borderId="0" xfId="0" applyFill="1"/>
    <xf numFmtId="0" fontId="0" fillId="2" borderId="11" xfId="0" applyFill="1" applyBorder="1"/>
    <xf numFmtId="0" fontId="0" fillId="2" borderId="5" xfId="0" applyFill="1" applyBorder="1"/>
    <xf numFmtId="0" fontId="0" fillId="2" borderId="6" xfId="0" applyFill="1" applyBorder="1"/>
    <xf numFmtId="164" fontId="0" fillId="2" borderId="3" xfId="0" applyNumberFormat="1" applyFill="1" applyBorder="1"/>
    <xf numFmtId="164" fontId="0" fillId="2" borderId="7" xfId="0" applyNumberFormat="1" applyFill="1" applyBorder="1"/>
    <xf numFmtId="164" fontId="0" fillId="2" borderId="12" xfId="0" applyNumberFormat="1" applyFill="1" applyBorder="1"/>
    <xf numFmtId="0" fontId="0" fillId="4" borderId="8" xfId="0" applyFill="1" applyBorder="1"/>
    <xf numFmtId="0" fontId="0" fillId="4" borderId="9" xfId="0" applyFill="1" applyBorder="1"/>
    <xf numFmtId="9" fontId="0" fillId="4" borderId="9" xfId="0" applyNumberFormat="1" applyFill="1" applyBorder="1"/>
    <xf numFmtId="164" fontId="0" fillId="4" borderId="10" xfId="0" applyNumberFormat="1" applyFill="1" applyBorder="1"/>
    <xf numFmtId="0" fontId="0" fillId="6" borderId="11" xfId="0" applyFill="1" applyBorder="1"/>
    <xf numFmtId="0" fontId="0" fillId="6" borderId="0" xfId="0" applyFill="1"/>
    <xf numFmtId="164" fontId="0" fillId="6" borderId="12" xfId="0" applyNumberFormat="1" applyFill="1" applyBorder="1"/>
    <xf numFmtId="0" fontId="0" fillId="6" borderId="12" xfId="0" applyFill="1" applyBorder="1"/>
    <xf numFmtId="0" fontId="0" fillId="0" borderId="4" xfId="0" applyFont="1" applyBorder="1"/>
    <xf numFmtId="0" fontId="3" fillId="7" borderId="0" xfId="1"/>
    <xf numFmtId="0" fontId="4" fillId="8" borderId="0" xfId="2"/>
    <xf numFmtId="0" fontId="0" fillId="0" borderId="13" xfId="0" applyBorder="1"/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3" borderId="3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3" fillId="7" borderId="0" xfId="1" applyAlignment="1">
      <alignment horizontal="left"/>
    </xf>
    <xf numFmtId="0" fontId="4" fillId="8" borderId="0" xfId="2" applyAlignment="1">
      <alignment horizontal="left"/>
    </xf>
    <xf numFmtId="0" fontId="1" fillId="5" borderId="5" xfId="0" applyFont="1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3" borderId="1" xfId="0" applyFill="1" applyBorder="1" applyAlignment="1">
      <alignment horizontal="left" wrapText="1"/>
    </xf>
    <xf numFmtId="0" fontId="0" fillId="3" borderId="2" xfId="0" applyFill="1" applyBorder="1" applyAlignment="1">
      <alignment horizontal="left" wrapText="1"/>
    </xf>
    <xf numFmtId="0" fontId="0" fillId="3" borderId="3" xfId="0" applyFill="1" applyBorder="1" applyAlignment="1">
      <alignment horizontal="left" wrapText="1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5" borderId="11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4" borderId="1" xfId="0" applyFill="1" applyBorder="1" applyAlignment="1">
      <alignment horizontal="left"/>
    </xf>
    <xf numFmtId="0" fontId="0" fillId="4" borderId="2" xfId="0" applyFill="1" applyBorder="1" applyAlignment="1">
      <alignment horizontal="left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3" fillId="7" borderId="14" xfId="1" applyBorder="1"/>
    <xf numFmtId="0" fontId="3" fillId="7" borderId="14" xfId="1" applyBorder="1"/>
  </cellXfs>
  <cellStyles count="3">
    <cellStyle name="Incorrecto" xfId="1" builtinId="27"/>
    <cellStyle name="Neutral" xfId="2" builtinId="28"/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2521"/>
      <color rgb="FFF55B58"/>
      <color rgb="FFFF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Espacio a escanear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accent1">
                    <a:lumMod val="75000"/>
                  </a:schemeClr>
                </a:solidFill>
              </a:ln>
              <a:effectLst>
                <a:innerShdw blurRad="114300">
                  <a:schemeClr val="accent1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1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0D1-4713-8DDC-493B98138C63}"/>
              </c:ext>
            </c:extLst>
          </c:dPt>
          <c:dPt>
            <c:idx val="1"/>
            <c:bubble3D val="0"/>
            <c:spPr>
              <a:solidFill>
                <a:schemeClr val="accent2">
                  <a:alpha val="90000"/>
                </a:schemeClr>
              </a:solidFill>
              <a:ln w="19050">
                <a:solidFill>
                  <a:schemeClr val="accent2">
                    <a:lumMod val="75000"/>
                  </a:schemeClr>
                </a:solidFill>
              </a:ln>
              <a:effectLst>
                <a:innerShdw blurRad="114300">
                  <a:schemeClr val="accent2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2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20D1-4713-8DDC-493B98138C63}"/>
              </c:ext>
            </c:extLst>
          </c:dPt>
          <c:dPt>
            <c:idx val="2"/>
            <c:bubble3D val="0"/>
            <c:spPr>
              <a:solidFill>
                <a:schemeClr val="accent3">
                  <a:alpha val="90000"/>
                </a:schemeClr>
              </a:solidFill>
              <a:ln w="19050">
                <a:solidFill>
                  <a:schemeClr val="accent3">
                    <a:lumMod val="75000"/>
                  </a:schemeClr>
                </a:solidFill>
              </a:ln>
              <a:effectLst>
                <a:innerShdw blurRad="114300">
                  <a:schemeClr val="accent3">
                    <a:lumMod val="75000"/>
                  </a:schemeClr>
                </a:innerShdw>
              </a:effectLst>
              <a:scene3d>
                <a:camera prst="orthographicFront"/>
                <a:lightRig rig="threePt" dir="t"/>
              </a:scene3d>
              <a:sp3d contourW="19050" prstMaterial="flat">
                <a:contourClr>
                  <a:schemeClr val="accent3">
                    <a:lumMod val="75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0D1-4713-8DDC-493B98138C63}"/>
              </c:ext>
            </c:extLst>
          </c:dPt>
          <c:dLbls>
            <c:dLbl>
              <c:idx val="0"/>
              <c:layout/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0" i="0" u="none" strike="noStrike" kern="1200" baseline="0">
                        <a:solidFill>
                          <a:schemeClr val="accent1"/>
                        </a:solidFill>
                        <a:effectLst/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CAMPO; </a:t>
                    </a:r>
                    <a:fld id="{F6A70DB2-98C6-4D75-925A-89E4BECE8DDB}" type="VALUE">
                      <a:rPr lang="en-US" baseline="0"/>
                      <a:pPr>
                        <a:defRPr/>
                      </a:pPr>
                      <a:t>[VALOR]</a:t>
                    </a:fld>
                    <a:r>
                      <a:rPr lang="en-US" baseline="0"/>
                      <a:t>m^2</a:t>
                    </a:r>
                  </a:p>
                </c:rich>
              </c:tx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1"/>
                  </a:solidFill>
                  <a:round/>
                </a:ln>
                <a:effectLst>
                  <a:outerShdw blurRad="50800" dist="38100" dir="2700000" algn="tl" rotWithShape="0">
                    <a:schemeClr val="accent1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20D1-4713-8DDC-493B98138C63}"/>
                </c:ext>
              </c:extLst>
            </c:dLbl>
            <c:dLbl>
              <c:idx val="1"/>
              <c:layout/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0" i="0" u="none" strike="noStrike" kern="1200" baseline="0">
                        <a:solidFill>
                          <a:schemeClr val="accent1"/>
                        </a:solidFill>
                        <a:effectLst/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GRADERÍO; </a:t>
                    </a:r>
                    <a:fld id="{6BD04CFF-93FB-41AF-BC63-11E19BC4F371}" type="VALUE">
                      <a:rPr lang="en-US" baseline="0"/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[VALOR]</a:t>
                    </a:fld>
                    <a:r>
                      <a:rPr lang="en-US" baseline="0"/>
                      <a:t>m^2</a:t>
                    </a:r>
                  </a:p>
                </c:rich>
              </c:tx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2"/>
                  </a:solidFill>
                  <a:round/>
                </a:ln>
                <a:effectLst>
                  <a:outerShdw blurRad="50800" dist="38100" dir="2700000" algn="tl" rotWithShape="0">
                    <a:schemeClr val="accent2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20D1-4713-8DDC-493B98138C63}"/>
                </c:ext>
              </c:extLst>
            </c:dLbl>
            <c:dLbl>
              <c:idx val="2"/>
              <c:layout/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000" b="0" i="0" u="none" strike="noStrike" kern="1200" baseline="0">
                        <a:solidFill>
                          <a:schemeClr val="accent1"/>
                        </a:solidFill>
                        <a:effectLst/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INTERIORES; </a:t>
                    </a:r>
                    <a:fld id="{4B52A522-7072-413C-9889-4204643FF876}" type="VALUE">
                      <a:rPr lang="en-US" baseline="0"/>
                      <a:pPr>
                        <a:defRPr>
                          <a:solidFill>
                            <a:schemeClr val="accent1"/>
                          </a:solidFill>
                        </a:defRPr>
                      </a:pPr>
                      <a:t>[VALOR]</a:t>
                    </a:fld>
                    <a:r>
                      <a:rPr lang="en-US" baseline="0"/>
                      <a:t>m^2</a:t>
                    </a:r>
                  </a:p>
                </c:rich>
              </c:tx>
              <c:spPr>
                <a:solidFill>
                  <a:schemeClr val="lt1">
                    <a:alpha val="90000"/>
                  </a:schemeClr>
                </a:solidFill>
                <a:ln w="12700" cap="flat" cmpd="sng" algn="ctr">
                  <a:solidFill>
                    <a:schemeClr val="accent3"/>
                  </a:solidFill>
                  <a:round/>
                </a:ln>
                <a:effectLst>
                  <a:outerShdw blurRad="50800" dist="38100" dir="2700000" algn="tl" rotWithShape="0">
                    <a:schemeClr val="accent3">
                      <a:lumMod val="75000"/>
                      <a:alpha val="40000"/>
                    </a:schemeClr>
                  </a:outerShdw>
                </a:effectLst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0" i="0" u="none" strike="noStrike" kern="1200" baseline="0">
                      <a:solidFill>
                        <a:schemeClr val="accent1"/>
                      </a:solidFill>
                      <a:effectLst/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dLblPos val="inEnd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20D1-4713-8DDC-493B98138C63}"/>
                </c:ext>
              </c:extLst>
            </c:dLbl>
            <c:spPr>
              <a:solidFill>
                <a:sysClr val="window" lastClr="FFFFFF">
                  <a:alpha val="90000"/>
                </a:sysClr>
              </a:solidFill>
              <a:ln w="12700" cap="flat" cmpd="sng" algn="ctr">
                <a:solidFill>
                  <a:srgbClr val="E84C22"/>
                </a:solidFill>
                <a:round/>
              </a:ln>
              <a:effectLst>
                <a:outerShdw blurRad="50800" dist="38100" dir="2700000" algn="tl" rotWithShape="0">
                  <a:srgbClr val="E84C22">
                    <a:lumMod val="75000"/>
                    <a:alpha val="40000"/>
                  </a:srgbClr>
                </a:outerShdw>
              </a:effectLst>
            </c:spPr>
            <c:dLblPos val="inEnd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(Hoja1!$E$4,Hoja1!$E$6,Hoja1!$E$8)</c:f>
              <c:numCache>
                <c:formatCode>General</c:formatCode>
                <c:ptCount val="3"/>
                <c:pt idx="0">
                  <c:v>7000</c:v>
                </c:pt>
                <c:pt idx="1">
                  <c:v>50000</c:v>
                </c:pt>
                <c:pt idx="2">
                  <c:v>15000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D1-4713-8DDC-493B98138C6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>
        <a:lumMod val="8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3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8100" tIns="19050" rIns="38100" bIns="19050" anchor="ctr" anchorCtr="1">
      <a:spAutoFit/>
    </cs:bodyPr>
  </cs:dataLabel>
  <cs:dataLabelCallout>
    <cs:lnRef idx="0">
      <cs:styleClr val="auto"/>
    </cs:lnRef>
    <cs:fillRef idx="0"/>
    <cs:effectRef idx="0">
      <cs:styleClr val="auto"/>
    </cs:effectRef>
    <cs:fontRef idx="minor">
      <cs:styleClr val="auto"/>
    </cs:fontRef>
    <cs:spPr>
      <a:solidFill>
        <a:schemeClr val="lt1">
          <a:alpha val="90000"/>
        </a:schemeClr>
      </a:solidFill>
      <a:ln w="12700" cap="flat" cmpd="sng" algn="ctr">
        <a:solidFill>
          <a:schemeClr val="phClr"/>
        </a:solidFill>
        <a:round/>
      </a:ln>
      <a:effectLst>
        <a:outerShdw blurRad="50800" dist="38100" dir="2700000" algn="tl" rotWithShape="0">
          <a:schemeClr val="phClr">
            <a:lumMod val="75000"/>
            <a:alpha val="40000"/>
          </a:schemeClr>
        </a:outerShdw>
      </a:effectLst>
    </cs:spPr>
    <cs:defRPr sz="1000" b="0" i="0" u="none" strike="noStrike" kern="1200" baseline="0">
      <a:effectLst/>
    </cs:defRPr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>
          <a:alpha val="70000"/>
        </a:schemeClr>
      </a:solidFill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tx1"/>
    </cs:fontRef>
    <cs:spPr>
      <a:solidFill>
        <a:schemeClr val="phClr">
          <a:alpha val="90000"/>
        </a:schemeClr>
      </a:solidFill>
      <a:ln w="19050">
        <a:solidFill>
          <a:schemeClr val="phClr">
            <a:lumMod val="75000"/>
          </a:schemeClr>
        </a:solidFill>
      </a:ln>
      <a:effectLst>
        <a:innerShdw blurRad="114300">
          <a:schemeClr val="phClr">
            <a:lumMod val="75000"/>
          </a:schemeClr>
        </a:innerShdw>
      </a:effectLst>
      <a:scene3d>
        <a:camera prst="orthographicFront"/>
        <a:lightRig rig="threePt" dir="t"/>
      </a:scene3d>
      <a:sp3d contourW="19050" prstMaterial="flat">
        <a:contourClr>
          <a:schemeClr val="accent4">
            <a:lumMod val="75000"/>
          </a:schemeClr>
        </a:contourClr>
      </a:sp3d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14287</xdr:colOff>
      <xdr:row>15</xdr:row>
      <xdr:rowOff>0</xdr:rowOff>
    </xdr:from>
    <xdr:to>
      <xdr:col>18</xdr:col>
      <xdr:colOff>0</xdr:colOff>
      <xdr:row>28</xdr:row>
      <xdr:rowOff>180975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Rojo naranja">
      <a:dk1>
        <a:sysClr val="windowText" lastClr="000000"/>
      </a:dk1>
      <a:lt1>
        <a:sysClr val="window" lastClr="FFFFFF"/>
      </a:lt1>
      <a:dk2>
        <a:srgbClr val="505046"/>
      </a:dk2>
      <a:lt2>
        <a:srgbClr val="EEECE1"/>
      </a:lt2>
      <a:accent1>
        <a:srgbClr val="E84C22"/>
      </a:accent1>
      <a:accent2>
        <a:srgbClr val="FFBD47"/>
      </a:accent2>
      <a:accent3>
        <a:srgbClr val="B64926"/>
      </a:accent3>
      <a:accent4>
        <a:srgbClr val="FF8427"/>
      </a:accent4>
      <a:accent5>
        <a:srgbClr val="CC9900"/>
      </a:accent5>
      <a:accent6>
        <a:srgbClr val="B22600"/>
      </a:accent6>
      <a:hlink>
        <a:srgbClr val="CC9900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5"/>
  <sheetViews>
    <sheetView tabSelected="1" workbookViewId="0">
      <selection activeCell="N2" sqref="N2:O2"/>
    </sheetView>
  </sheetViews>
  <sheetFormatPr baseColWidth="10" defaultColWidth="9.140625" defaultRowHeight="15" x14ac:dyDescent="0.25"/>
  <cols>
    <col min="1" max="1" width="3.7109375" customWidth="1"/>
    <col min="4" max="4" width="14.85546875" customWidth="1"/>
    <col min="5" max="5" width="14" customWidth="1"/>
    <col min="9" max="9" width="9.140625" customWidth="1"/>
    <col min="11" max="11" width="11.42578125" customWidth="1"/>
    <col min="14" max="14" width="13.85546875" customWidth="1"/>
    <col min="15" max="15" width="16.28515625" customWidth="1"/>
  </cols>
  <sheetData>
    <row r="2" spans="2:16" ht="15" customHeight="1" x14ac:dyDescent="0.25">
      <c r="B2" s="59" t="s">
        <v>0</v>
      </c>
      <c r="C2" s="60"/>
      <c r="D2" s="60"/>
      <c r="E2" s="61"/>
      <c r="H2" s="52" t="s">
        <v>1</v>
      </c>
      <c r="I2" s="53"/>
      <c r="J2" s="53"/>
      <c r="K2" s="3">
        <v>100</v>
      </c>
      <c r="N2" s="34" t="s">
        <v>2</v>
      </c>
      <c r="O2" s="34"/>
      <c r="P2" s="26">
        <v>1.5</v>
      </c>
    </row>
    <row r="3" spans="2:16" ht="15" customHeight="1" x14ac:dyDescent="0.25">
      <c r="B3" s="62"/>
      <c r="C3" s="63"/>
      <c r="D3" s="63"/>
      <c r="E3" s="64"/>
    </row>
    <row r="4" spans="2:16" x14ac:dyDescent="0.25">
      <c r="B4" s="29" t="s">
        <v>3</v>
      </c>
      <c r="C4" s="30"/>
      <c r="D4" s="30"/>
      <c r="E4" s="28">
        <v>7000</v>
      </c>
      <c r="H4" s="65" t="s">
        <v>4</v>
      </c>
      <c r="I4" s="66"/>
      <c r="J4" s="66"/>
      <c r="K4" s="14">
        <v>100</v>
      </c>
      <c r="N4" s="35" t="s">
        <v>5</v>
      </c>
      <c r="O4" s="35"/>
      <c r="P4" s="27">
        <v>9</v>
      </c>
    </row>
    <row r="5" spans="2:16" x14ac:dyDescent="0.25">
      <c r="B5" s="21"/>
      <c r="C5" s="22"/>
      <c r="D5" s="22"/>
      <c r="E5" s="24"/>
    </row>
    <row r="6" spans="2:16" x14ac:dyDescent="0.25">
      <c r="B6" s="42" t="s">
        <v>6</v>
      </c>
      <c r="C6" s="43"/>
      <c r="D6" s="44"/>
      <c r="E6" s="25">
        <v>50000</v>
      </c>
    </row>
    <row r="7" spans="2:16" x14ac:dyDescent="0.25">
      <c r="B7" s="21"/>
      <c r="C7" s="22"/>
      <c r="D7" s="22"/>
      <c r="E7" s="24"/>
      <c r="H7" s="36" t="s">
        <v>7</v>
      </c>
      <c r="I7" s="37"/>
      <c r="J7" s="37"/>
      <c r="K7" s="38"/>
      <c r="N7" s="36" t="s">
        <v>8</v>
      </c>
      <c r="O7" s="37"/>
      <c r="P7" s="38"/>
    </row>
    <row r="8" spans="2:16" x14ac:dyDescent="0.25">
      <c r="B8" s="29" t="s">
        <v>9</v>
      </c>
      <c r="C8" s="30"/>
      <c r="D8" s="31"/>
      <c r="E8" s="25">
        <v>15000</v>
      </c>
      <c r="H8" s="49"/>
      <c r="I8" s="50"/>
      <c r="J8" s="50"/>
      <c r="K8" s="51"/>
      <c r="N8" s="39"/>
      <c r="O8" s="40"/>
      <c r="P8" s="41"/>
    </row>
    <row r="9" spans="2:16" x14ac:dyDescent="0.25">
      <c r="B9" s="21"/>
      <c r="C9" s="22"/>
      <c r="D9" s="22"/>
      <c r="E9" s="24"/>
      <c r="H9" s="12" t="s">
        <v>10</v>
      </c>
      <c r="I9" s="13"/>
      <c r="J9" s="13"/>
      <c r="K9" s="15">
        <f>E15*K4</f>
        <v>7000</v>
      </c>
      <c r="N9" s="45" t="s">
        <v>11</v>
      </c>
      <c r="O9" s="46"/>
      <c r="P9" s="5">
        <f>((E6+E4)/P4)*P2</f>
        <v>9500</v>
      </c>
    </row>
    <row r="10" spans="2:16" x14ac:dyDescent="0.25">
      <c r="B10" s="1" t="s">
        <v>12</v>
      </c>
      <c r="C10" s="2"/>
      <c r="D10" s="2"/>
      <c r="E10" s="3">
        <f>E8+E6+E4</f>
        <v>72000</v>
      </c>
      <c r="H10" s="21"/>
      <c r="I10" s="22"/>
      <c r="J10" s="22"/>
      <c r="K10" s="23"/>
      <c r="N10" s="21"/>
      <c r="O10" s="22"/>
      <c r="P10" s="24"/>
    </row>
    <row r="11" spans="2:16" x14ac:dyDescent="0.25">
      <c r="H11" s="11" t="s">
        <v>13</v>
      </c>
      <c r="I11" s="10"/>
      <c r="J11" s="10"/>
      <c r="K11" s="16">
        <f>E17*K4</f>
        <v>50000</v>
      </c>
      <c r="N11" s="47" t="s">
        <v>14</v>
      </c>
      <c r="O11" s="48"/>
      <c r="P11" s="6">
        <f>(E8/P4)*P2</f>
        <v>2500</v>
      </c>
    </row>
    <row r="12" spans="2:16" ht="15" customHeight="1" x14ac:dyDescent="0.25">
      <c r="H12" s="21"/>
      <c r="I12" s="22"/>
      <c r="J12" s="22"/>
      <c r="K12" s="23"/>
    </row>
    <row r="13" spans="2:16" x14ac:dyDescent="0.25">
      <c r="B13" s="36" t="s">
        <v>15</v>
      </c>
      <c r="C13" s="54"/>
      <c r="D13" s="54"/>
      <c r="E13" s="55"/>
      <c r="H13" s="11" t="s">
        <v>16</v>
      </c>
      <c r="I13" s="10"/>
      <c r="J13" s="10"/>
      <c r="K13" s="16">
        <f>E19*K4</f>
        <v>15000</v>
      </c>
    </row>
    <row r="14" spans="2:16" x14ac:dyDescent="0.25">
      <c r="B14" s="56"/>
      <c r="C14" s="57"/>
      <c r="D14" s="57"/>
      <c r="E14" s="58"/>
      <c r="H14" s="21"/>
      <c r="I14" s="22"/>
      <c r="J14" s="22"/>
      <c r="K14" s="23"/>
      <c r="N14" s="67" t="s">
        <v>17</v>
      </c>
      <c r="O14" s="67"/>
      <c r="P14" s="68">
        <f>P11+P9</f>
        <v>12000</v>
      </c>
    </row>
    <row r="15" spans="2:16" x14ac:dyDescent="0.25">
      <c r="B15" s="29" t="s">
        <v>18</v>
      </c>
      <c r="C15" s="30"/>
      <c r="D15" s="31"/>
      <c r="E15" s="7">
        <f>E4/K2</f>
        <v>70</v>
      </c>
      <c r="H15" s="21"/>
      <c r="I15" s="22"/>
      <c r="J15" s="22"/>
      <c r="K15" s="23"/>
    </row>
    <row r="16" spans="2:16" x14ac:dyDescent="0.25">
      <c r="B16" s="21"/>
      <c r="C16" s="22"/>
      <c r="D16" s="22"/>
      <c r="E16" s="24"/>
      <c r="H16" s="11" t="s">
        <v>19</v>
      </c>
      <c r="I16" s="10"/>
      <c r="J16" s="10"/>
      <c r="K16" s="16">
        <f>K13+K11+K9</f>
        <v>72000</v>
      </c>
    </row>
    <row r="17" spans="2:11" x14ac:dyDescent="0.25">
      <c r="B17" s="29" t="s">
        <v>20</v>
      </c>
      <c r="C17" s="30"/>
      <c r="D17" s="31"/>
      <c r="E17" s="7">
        <f>E6/K2</f>
        <v>500</v>
      </c>
      <c r="H17" s="21"/>
      <c r="I17" s="22"/>
      <c r="J17" s="22"/>
      <c r="K17" s="23"/>
    </row>
    <row r="18" spans="2:11" x14ac:dyDescent="0.25">
      <c r="B18" s="4"/>
      <c r="C18" s="22"/>
      <c r="D18" s="22"/>
      <c r="E18" s="24"/>
      <c r="H18" s="17" t="s">
        <v>21</v>
      </c>
      <c r="I18" s="18"/>
      <c r="J18" s="19">
        <v>0.21</v>
      </c>
      <c r="K18" s="20">
        <f>K16*0.21</f>
        <v>15120</v>
      </c>
    </row>
    <row r="19" spans="2:11" x14ac:dyDescent="0.25">
      <c r="B19" s="29" t="s">
        <v>14</v>
      </c>
      <c r="C19" s="30"/>
      <c r="D19" s="31"/>
      <c r="E19" s="7">
        <f>E8/K2</f>
        <v>150</v>
      </c>
    </row>
    <row r="20" spans="2:11" x14ac:dyDescent="0.25">
      <c r="B20" s="21"/>
      <c r="C20" s="22"/>
      <c r="D20" s="22"/>
      <c r="E20" s="24"/>
    </row>
    <row r="21" spans="2:11" x14ac:dyDescent="0.25">
      <c r="B21" s="1" t="s">
        <v>22</v>
      </c>
      <c r="C21" s="2"/>
      <c r="D21" s="2"/>
      <c r="E21" s="3">
        <f>E10/K2</f>
        <v>720</v>
      </c>
      <c r="H21" s="8" t="s">
        <v>23</v>
      </c>
      <c r="I21" s="9"/>
      <c r="J21" s="9"/>
      <c r="K21" s="14">
        <f>K18+K16</f>
        <v>87120</v>
      </c>
    </row>
    <row r="23" spans="2:11" x14ac:dyDescent="0.25">
      <c r="B23" s="1" t="s">
        <v>24</v>
      </c>
      <c r="C23" s="2"/>
      <c r="D23" s="2"/>
      <c r="E23" s="3">
        <f>E21/8</f>
        <v>90</v>
      </c>
    </row>
    <row r="25" spans="2:11" x14ac:dyDescent="0.25">
      <c r="B25" s="32" t="s">
        <v>25</v>
      </c>
      <c r="C25" s="33"/>
      <c r="D25" s="33"/>
      <c r="E25" s="3">
        <f>(E17+E15)/8</f>
        <v>71.25</v>
      </c>
    </row>
  </sheetData>
  <mergeCells count="18">
    <mergeCell ref="N2:O2"/>
    <mergeCell ref="N4:O4"/>
    <mergeCell ref="N7:P8"/>
    <mergeCell ref="N14:O14"/>
    <mergeCell ref="B6:D6"/>
    <mergeCell ref="B8:D8"/>
    <mergeCell ref="N9:O9"/>
    <mergeCell ref="N11:O11"/>
    <mergeCell ref="H7:K8"/>
    <mergeCell ref="H2:J2"/>
    <mergeCell ref="B13:E14"/>
    <mergeCell ref="B2:E3"/>
    <mergeCell ref="H4:J4"/>
    <mergeCell ref="B4:D4"/>
    <mergeCell ref="B15:D15"/>
    <mergeCell ref="B17:D17"/>
    <mergeCell ref="B19:D19"/>
    <mergeCell ref="B25:D25"/>
  </mergeCells>
  <conditionalFormatting sqref="N14 P14">
    <cfRule type="notContainsBlanks" dxfId="0" priority="1">
      <formula>LEN(TRIM(N14))&gt;0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Presencial</cp:lastModifiedBy>
  <cp:revision/>
  <dcterms:created xsi:type="dcterms:W3CDTF">2026-04-07T10:35:52Z</dcterms:created>
  <dcterms:modified xsi:type="dcterms:W3CDTF">2026-04-08T09:48:56Z</dcterms:modified>
  <cp:category/>
  <cp:contentStatus/>
</cp:coreProperties>
</file>